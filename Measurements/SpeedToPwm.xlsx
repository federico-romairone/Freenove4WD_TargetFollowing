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13dae0734b4968e2/PoliTo/Tirocinio/"/>
    </mc:Choice>
  </mc:AlternateContent>
  <xr:revisionPtr revIDLastSave="394" documentId="11_0B1D56BE9CDCCE836B02CE7A5FB0D4A9BBFD1C62" xr6:coauthVersionLast="47" xr6:coauthVersionMax="47" xr10:uidLastSave="{BC279732-45A7-4C7E-A49D-2A8B87DFC6D2}"/>
  <bookViews>
    <workbookView minimized="1" xWindow="4800" yWindow="2152" windowWidth="14400" windowHeight="8183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6" i="1"/>
  <c r="N5" i="1"/>
  <c r="N4" i="1"/>
  <c r="A8" i="1"/>
</calcChain>
</file>

<file path=xl/sharedStrings.xml><?xml version="1.0" encoding="utf-8"?>
<sst xmlns="http://schemas.openxmlformats.org/spreadsheetml/2006/main" count="15" uniqueCount="6">
  <si>
    <t>SPACE (cm)</t>
  </si>
  <si>
    <t>PWM INPUT</t>
  </si>
  <si>
    <t>SPEED_2W (cm/s)</t>
  </si>
  <si>
    <t>SPEED_4W (cm/s)</t>
  </si>
  <si>
    <t>TIME_2W (s)</t>
  </si>
  <si>
    <t>TIME_4W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</si>
</sst>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1" xfId="0" applyNumberFormat="1" applyBorder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2" fontId="0" fillId="0" borderId="3" xfId="0" applyNumberForma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" fontId="0" fillId="0" borderId="3" xfId="0" applyNumberForma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SpeedToPWM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Sheet1!$N$2:$N$7</c:f>
              <c:numCache>
                <c:formatCode>0.00</c:formatCode>
                <c:ptCount val="6"/>
                <c:pt idx="0">
                  <c:v>21.34</c:v>
                </c:pt>
                <c:pt idx="1">
                  <c:v>26.64</c:v>
                </c:pt>
                <c:pt idx="2">
                  <c:v>50.26</c:v>
                </c:pt>
                <c:pt idx="3">
                  <c:v>55.96</c:v>
                </c:pt>
                <c:pt idx="4">
                  <c:v>66.14</c:v>
                </c:pt>
                <c:pt idx="5">
                  <c:v>0</c:v>
                </c:pt>
              </c:numCache>
            </c:numRef>
          </c:xVal>
          <c:yVal>
            <c:numRef>
              <c:f>Sheet1!$M$2:$M$7</c:f>
              <c:numCache>
                <c:formatCode>0</c:formatCode>
                <c:ptCount val="6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C3-4097-B2A5-18DAF13DB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PWMtoSpeed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Sheet1!$M$2:$M$7</c:f>
              <c:numCache>
                <c:formatCode>0</c:formatCode>
                <c:ptCount val="6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</c:numCache>
            </c:numRef>
          </c:xVal>
          <c:yVal>
            <c:numRef>
              <c:f>Sheet1!$N$2:$N$7</c:f>
              <c:numCache>
                <c:formatCode>0.00</c:formatCode>
                <c:ptCount val="6"/>
                <c:pt idx="0">
                  <c:v>21.34</c:v>
                </c:pt>
                <c:pt idx="1">
                  <c:v>26.64</c:v>
                </c:pt>
                <c:pt idx="2">
                  <c:v>50.26</c:v>
                </c:pt>
                <c:pt idx="3">
                  <c:v>55.96</c:v>
                </c:pt>
                <c:pt idx="4">
                  <c:v>66.14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C1-4CC9-9631-7912AA08A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762000</xdr:colOff>
      <xdr:row>15</xdr:row>
      <xdr:rowOff>0</xdr:rowOff>
    </xdr:from>
    <xdr:to>
      <xdr:col>9</xdr:col>
      <xdr:colOff>590550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18C293-6F6E-2184-C495-C6849CADF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600075</xdr:colOff>
      <xdr:row>15</xdr:row>
      <xdr:rowOff>9525</xdr:rowOff>
    </xdr:from>
    <xdr:to>
      <xdr:col>18</xdr:col>
      <xdr:colOff>238125</xdr:colOff>
      <xdr:row>34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4F34C-A305-4E66-96D1-C7D0CF239A03}"/>
            </a:ext>
            <a:ext uri="{147F2762-F138-4A5C-976F-8EAC2B608ADB}">
              <a16:predDERef xmlns:a16="http://schemas.microsoft.com/office/drawing/2014/main" pred="{9918C293-6F6E-2184-C495-C6849CAD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topLeftCell="A13" zoomScale="75" workbookViewId="0">
      <selection activeCell="G40" sqref="G40"/>
    </sheetView>
  </sheetViews>
  <sheetFormatPr defaultRowHeight="14.25"/>
  <cols>
    <col min="1" max="1" width="11.5703125" customWidth="1"/>
    <col min="2" max="2" width="13.42578125" customWidth="1"/>
    <col min="3" max="3" width="10.140625" customWidth="1"/>
    <col min="13" max="13" width="12.85546875" customWidth="1"/>
    <col min="14" max="15" width="17.140625" customWidth="1"/>
  </cols>
  <sheetData>
    <row r="1" spans="1:15" ht="20.25" customHeight="1">
      <c r="A1" s="10" t="s">
        <v>0</v>
      </c>
      <c r="B1" s="1">
        <v>120</v>
      </c>
      <c r="C1" s="2"/>
      <c r="D1" s="2"/>
      <c r="E1" s="2"/>
      <c r="F1" s="2"/>
      <c r="G1" s="2"/>
      <c r="H1" s="2"/>
      <c r="I1" s="2"/>
      <c r="J1" s="2"/>
      <c r="K1" s="3"/>
      <c r="L1" s="3"/>
      <c r="M1" s="10" t="s">
        <v>1</v>
      </c>
      <c r="N1" s="10" t="s">
        <v>2</v>
      </c>
      <c r="O1" s="4" t="s">
        <v>3</v>
      </c>
    </row>
    <row r="2" spans="1:15">
      <c r="A2" s="2"/>
      <c r="B2" s="2"/>
      <c r="C2" s="2"/>
      <c r="D2" s="2"/>
      <c r="E2" s="2"/>
      <c r="F2" s="2"/>
      <c r="G2" s="2"/>
      <c r="H2" s="2"/>
      <c r="I2" s="2"/>
      <c r="J2" s="2"/>
      <c r="K2" s="3"/>
      <c r="L2" s="3"/>
      <c r="M2" s="9">
        <v>720</v>
      </c>
      <c r="N2" s="8">
        <f>ROUND(B1/AVERAGE(C12:K12), 2)</f>
        <v>21.34</v>
      </c>
      <c r="O2" s="8"/>
    </row>
    <row r="3" spans="1:15">
      <c r="A3" s="10" t="s">
        <v>1</v>
      </c>
      <c r="B3" s="2"/>
      <c r="C3" s="2"/>
      <c r="D3" s="2"/>
      <c r="E3" s="2"/>
      <c r="F3" s="2"/>
      <c r="G3" s="2"/>
      <c r="H3" s="2"/>
      <c r="I3" s="2"/>
      <c r="J3" s="2"/>
      <c r="K3" s="3"/>
      <c r="L3" s="3"/>
      <c r="M3" s="9">
        <v>1023</v>
      </c>
      <c r="N3" s="8">
        <f>ROUND(B1/AVERAGE(C10:K10), 2)</f>
        <v>26.64</v>
      </c>
      <c r="O3" s="8"/>
    </row>
    <row r="4" spans="1:15" ht="16.5" customHeight="1">
      <c r="A4" s="11">
        <v>4095</v>
      </c>
      <c r="B4" s="5" t="s">
        <v>4</v>
      </c>
      <c r="C4" s="6">
        <v>1.8660000000000001</v>
      </c>
      <c r="D4" s="7">
        <v>1.7</v>
      </c>
      <c r="E4" s="7">
        <v>1.8660000000000001</v>
      </c>
      <c r="F4" s="7">
        <v>2.0329999999999999</v>
      </c>
      <c r="G4" s="7">
        <v>1.7</v>
      </c>
      <c r="H4" s="7">
        <v>1.8660000000000001</v>
      </c>
      <c r="I4" s="7">
        <v>1.766</v>
      </c>
      <c r="J4" s="7">
        <v>1.8</v>
      </c>
      <c r="K4" s="7">
        <v>1.7330000000000001</v>
      </c>
      <c r="L4" s="3"/>
      <c r="M4" s="9">
        <v>2047</v>
      </c>
      <c r="N4" s="8">
        <f>ROUND(B1/AVERAGE(C8:K8), 2)</f>
        <v>50.26</v>
      </c>
      <c r="O4" s="8"/>
    </row>
    <row r="5" spans="1:15" ht="17.25" customHeight="1">
      <c r="A5" s="12"/>
      <c r="B5" s="10" t="s">
        <v>5</v>
      </c>
      <c r="C5" s="8"/>
      <c r="D5" s="8"/>
      <c r="E5" s="8"/>
      <c r="F5" s="8"/>
      <c r="G5" s="8"/>
      <c r="H5" s="8"/>
      <c r="I5" s="8"/>
      <c r="J5" s="8"/>
      <c r="K5" s="8"/>
      <c r="L5" s="3"/>
      <c r="M5" s="9">
        <v>3071</v>
      </c>
      <c r="N5" s="8">
        <f>ROUND(B1/AVERAGE(C6:K6), 2)</f>
        <v>55.96</v>
      </c>
      <c r="O5" s="8"/>
    </row>
    <row r="6" spans="1:15" ht="18.75" customHeight="1">
      <c r="A6" s="11">
        <v>3071</v>
      </c>
      <c r="B6" s="5" t="s">
        <v>4</v>
      </c>
      <c r="C6" s="8">
        <v>2.02</v>
      </c>
      <c r="D6" s="8">
        <v>2.4</v>
      </c>
      <c r="E6" s="8">
        <v>2.25</v>
      </c>
      <c r="F6" s="8">
        <v>2.19</v>
      </c>
      <c r="G6" s="8">
        <v>2.27</v>
      </c>
      <c r="H6" s="8">
        <v>2</v>
      </c>
      <c r="I6" s="8">
        <v>2.02</v>
      </c>
      <c r="J6" s="8">
        <v>2.0099999999999998</v>
      </c>
      <c r="K6" s="8">
        <v>2.14</v>
      </c>
      <c r="L6" s="3"/>
      <c r="M6" s="13">
        <v>4095</v>
      </c>
      <c r="N6" s="7">
        <f>ROUND(B1/AVERAGE(C4:K4), 2)</f>
        <v>66.14</v>
      </c>
      <c r="O6" s="7"/>
    </row>
    <row r="7" spans="1:15" ht="19.5" customHeight="1">
      <c r="A7" s="11"/>
      <c r="B7" s="10" t="s">
        <v>5</v>
      </c>
      <c r="C7" s="8"/>
      <c r="D7" s="8"/>
      <c r="E7" s="8"/>
      <c r="F7" s="8"/>
      <c r="G7" s="8"/>
      <c r="H7" s="8"/>
      <c r="I7" s="8"/>
      <c r="J7" s="8"/>
      <c r="K7" s="8"/>
      <c r="L7" s="3"/>
      <c r="M7" s="10">
        <v>0</v>
      </c>
      <c r="N7" s="8">
        <v>0</v>
      </c>
      <c r="O7" s="10"/>
    </row>
    <row r="8" spans="1:15" ht="18.75" customHeight="1">
      <c r="A8" s="11">
        <f>M4</f>
        <v>2047</v>
      </c>
      <c r="B8" s="5" t="s">
        <v>4</v>
      </c>
      <c r="C8" s="8">
        <v>2.4</v>
      </c>
      <c r="D8" s="8">
        <v>2.2599999999999998</v>
      </c>
      <c r="E8" s="8">
        <v>2.31</v>
      </c>
      <c r="F8" s="8">
        <v>2.31</v>
      </c>
      <c r="G8" s="8">
        <v>2.3199999999999998</v>
      </c>
      <c r="H8" s="8">
        <v>2.35</v>
      </c>
      <c r="I8" s="8">
        <v>2.57</v>
      </c>
      <c r="J8" s="8">
        <v>2.5</v>
      </c>
      <c r="K8" s="8">
        <v>2.4700000000000002</v>
      </c>
    </row>
    <row r="9" spans="1:15" ht="18.75" customHeight="1">
      <c r="A9" s="11"/>
      <c r="B9" s="10" t="s">
        <v>5</v>
      </c>
      <c r="C9" s="8"/>
      <c r="D9" s="8"/>
      <c r="E9" s="8"/>
      <c r="F9" s="8"/>
      <c r="G9" s="8"/>
      <c r="H9" s="8"/>
      <c r="I9" s="8"/>
      <c r="J9" s="8"/>
      <c r="K9" s="8"/>
    </row>
    <row r="10" spans="1:15" ht="18.75" customHeight="1">
      <c r="A10" s="11">
        <v>1023</v>
      </c>
      <c r="B10" s="5" t="s">
        <v>4</v>
      </c>
      <c r="C10" s="8">
        <v>4.29</v>
      </c>
      <c r="D10" s="8">
        <v>4.5199999999999996</v>
      </c>
      <c r="E10" s="8">
        <v>4.4400000000000004</v>
      </c>
      <c r="F10" s="8">
        <v>4.47</v>
      </c>
      <c r="G10" s="8">
        <v>4.43</v>
      </c>
      <c r="H10" s="8">
        <v>4.46</v>
      </c>
      <c r="I10" s="8">
        <v>4.7300000000000004</v>
      </c>
      <c r="J10" s="8">
        <v>4.76</v>
      </c>
      <c r="K10" s="8">
        <v>4.4400000000000004</v>
      </c>
    </row>
    <row r="11" spans="1:15" ht="20.25" customHeight="1">
      <c r="A11" s="11"/>
      <c r="B11" s="10" t="s">
        <v>5</v>
      </c>
      <c r="C11" s="8"/>
      <c r="D11" s="8"/>
      <c r="E11" s="8"/>
      <c r="F11" s="8"/>
      <c r="G11" s="8"/>
      <c r="H11" s="8"/>
      <c r="I11" s="8"/>
      <c r="J11" s="8"/>
      <c r="K11" s="8"/>
    </row>
    <row r="12" spans="1:15" ht="15">
      <c r="A12" s="11">
        <v>720</v>
      </c>
      <c r="B12" s="5" t="s">
        <v>4</v>
      </c>
      <c r="C12" s="8">
        <v>5.59</v>
      </c>
      <c r="D12" s="8">
        <v>5.28</v>
      </c>
      <c r="E12" s="8">
        <v>5.48</v>
      </c>
      <c r="F12" s="8">
        <v>5.55</v>
      </c>
      <c r="G12" s="8">
        <v>5.55</v>
      </c>
      <c r="H12" s="8">
        <v>5.59</v>
      </c>
      <c r="I12" s="8">
        <v>5.94</v>
      </c>
      <c r="J12" s="8">
        <v>5.73</v>
      </c>
      <c r="K12" s="8">
        <v>5.9</v>
      </c>
    </row>
    <row r="13" spans="1:15" ht="18.75" customHeight="1">
      <c r="A13" s="11"/>
      <c r="B13" s="10" t="s">
        <v>5</v>
      </c>
      <c r="C13" s="8"/>
      <c r="D13" s="8"/>
      <c r="E13" s="8"/>
      <c r="F13" s="8"/>
      <c r="G13" s="8"/>
      <c r="H13" s="8"/>
      <c r="I13" s="8"/>
      <c r="J13" s="8"/>
      <c r="K13" s="8"/>
    </row>
    <row r="14" spans="1:15" ht="19.5" customHeight="1"/>
  </sheetData>
  <mergeCells count="5">
    <mergeCell ref="A4:A5"/>
    <mergeCell ref="A6:A7"/>
    <mergeCell ref="A8:A9"/>
    <mergeCell ref="A10:A11"/>
    <mergeCell ref="A12:A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Federico Romairone</cp:lastModifiedBy>
  <cp:revision/>
  <dcterms:created xsi:type="dcterms:W3CDTF">2025-12-10T17:25:30Z</dcterms:created>
  <dcterms:modified xsi:type="dcterms:W3CDTF">2026-04-07T14:26:03Z</dcterms:modified>
  <cp:category/>
  <cp:contentStatus/>
</cp:coreProperties>
</file>