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s\Freenove4WD_TargetFollowing\Measurements\"/>
    </mc:Choice>
  </mc:AlternateContent>
  <xr:revisionPtr revIDLastSave="0" documentId="13_ncr:1_{B919289C-9C9D-46F5-8CC0-3140693573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8" i="1" s="1"/>
  <c r="O3" i="1"/>
  <c r="O9" i="1" s="1"/>
  <c r="O4" i="1"/>
  <c r="O10" i="1" s="1"/>
  <c r="O5" i="1"/>
  <c r="O11" i="1" s="1"/>
  <c r="O6" i="1"/>
  <c r="O12" i="1" s="1"/>
  <c r="N8" i="1"/>
  <c r="N12" i="1"/>
  <c r="N11" i="1"/>
  <c r="N10" i="1"/>
  <c r="N9" i="1"/>
  <c r="N2" i="1"/>
  <c r="N3" i="1"/>
  <c r="N6" i="1"/>
  <c r="N5" i="1"/>
  <c r="N4" i="1"/>
  <c r="A8" i="1"/>
</calcChain>
</file>

<file path=xl/sharedStrings.xml><?xml version="1.0" encoding="utf-8"?>
<sst xmlns="http://schemas.openxmlformats.org/spreadsheetml/2006/main" count="17" uniqueCount="8">
  <si>
    <t>SPACE (cm)</t>
  </si>
  <si>
    <t>PWM INPUT</t>
  </si>
  <si>
    <t>SPEED_2W (cm/s)</t>
  </si>
  <si>
    <t>SPEED_4W (cm/s)</t>
  </si>
  <si>
    <t>TIME_2W (s)</t>
  </si>
  <si>
    <t>TIME_4W (s)</t>
  </si>
  <si>
    <t>2 FRONTAL WHEELS</t>
  </si>
  <si>
    <t>4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</si>
</sst>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" fontId="0" fillId="0" borderId="6" xfId="0" applyNumberForma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SpeedToPWM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Sheet1!$N$2:$N$12</c:f>
              <c:numCache>
                <c:formatCode>0.00</c:formatCode>
                <c:ptCount val="11"/>
                <c:pt idx="0">
                  <c:v>21.34</c:v>
                </c:pt>
                <c:pt idx="1">
                  <c:v>26.64</c:v>
                </c:pt>
                <c:pt idx="2">
                  <c:v>50.26</c:v>
                </c:pt>
                <c:pt idx="3">
                  <c:v>55.96</c:v>
                </c:pt>
                <c:pt idx="4">
                  <c:v>66.14</c:v>
                </c:pt>
                <c:pt idx="5">
                  <c:v>0</c:v>
                </c:pt>
                <c:pt idx="6">
                  <c:v>-21.34</c:v>
                </c:pt>
                <c:pt idx="7">
                  <c:v>-26.64</c:v>
                </c:pt>
                <c:pt idx="8">
                  <c:v>-50.26</c:v>
                </c:pt>
                <c:pt idx="9">
                  <c:v>-55.96</c:v>
                </c:pt>
                <c:pt idx="10">
                  <c:v>-66.14</c:v>
                </c:pt>
              </c:numCache>
            </c:numRef>
          </c:xVal>
          <c:y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3-4097-B2A5-18DAF13DB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PWMtoSpeed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89760130372825"/>
          <c:y val="0.13171418896492446"/>
          <c:w val="0.81630648487127733"/>
          <c:h val="0.775226347367676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xVal>
          <c:yVal>
            <c:numRef>
              <c:f>Sheet1!$N$2:$N$12</c:f>
              <c:numCache>
                <c:formatCode>0.00</c:formatCode>
                <c:ptCount val="11"/>
                <c:pt idx="0">
                  <c:v>21.34</c:v>
                </c:pt>
                <c:pt idx="1">
                  <c:v>26.64</c:v>
                </c:pt>
                <c:pt idx="2">
                  <c:v>50.26</c:v>
                </c:pt>
                <c:pt idx="3">
                  <c:v>55.96</c:v>
                </c:pt>
                <c:pt idx="4">
                  <c:v>66.14</c:v>
                </c:pt>
                <c:pt idx="5">
                  <c:v>0</c:v>
                </c:pt>
                <c:pt idx="6">
                  <c:v>-21.34</c:v>
                </c:pt>
                <c:pt idx="7">
                  <c:v>-26.64</c:v>
                </c:pt>
                <c:pt idx="8">
                  <c:v>-50.26</c:v>
                </c:pt>
                <c:pt idx="9">
                  <c:v>-55.96</c:v>
                </c:pt>
                <c:pt idx="10">
                  <c:v>-66.14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1-4CC9-9631-7912AA08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SpeedToPWM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Sheet1!$O$2:$O$12</c:f>
              <c:numCache>
                <c:formatCode>0.00</c:formatCode>
                <c:ptCount val="11"/>
                <c:pt idx="0">
                  <c:v>21.79</c:v>
                </c:pt>
                <c:pt idx="1">
                  <c:v>35.89</c:v>
                </c:pt>
                <c:pt idx="2">
                  <c:v>61.82</c:v>
                </c:pt>
                <c:pt idx="3">
                  <c:v>72.87</c:v>
                </c:pt>
                <c:pt idx="4">
                  <c:v>80.78</c:v>
                </c:pt>
                <c:pt idx="5">
                  <c:v>0</c:v>
                </c:pt>
                <c:pt idx="6">
                  <c:v>-21.79</c:v>
                </c:pt>
                <c:pt idx="7">
                  <c:v>-35.89</c:v>
                </c:pt>
                <c:pt idx="8">
                  <c:v>-61.82</c:v>
                </c:pt>
                <c:pt idx="9">
                  <c:v>-72.87</c:v>
                </c:pt>
                <c:pt idx="10">
                  <c:v>-80.78</c:v>
                </c:pt>
              </c:numCache>
            </c:numRef>
          </c:xVal>
          <c:y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B-4F0E-8C7E-6C9E11E5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PWMtoSpeed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89760130372825"/>
          <c:y val="0.13171418896492446"/>
          <c:w val="0.81630648487127733"/>
          <c:h val="0.775226347367676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xVal>
          <c:yVal>
            <c:numRef>
              <c:f>Sheet1!$O$2:$O$12</c:f>
              <c:numCache>
                <c:formatCode>0.00</c:formatCode>
                <c:ptCount val="11"/>
                <c:pt idx="0">
                  <c:v>21.79</c:v>
                </c:pt>
                <c:pt idx="1">
                  <c:v>35.89</c:v>
                </c:pt>
                <c:pt idx="2">
                  <c:v>61.82</c:v>
                </c:pt>
                <c:pt idx="3">
                  <c:v>72.87</c:v>
                </c:pt>
                <c:pt idx="4">
                  <c:v>80.78</c:v>
                </c:pt>
                <c:pt idx="5">
                  <c:v>0</c:v>
                </c:pt>
                <c:pt idx="6">
                  <c:v>-21.79</c:v>
                </c:pt>
                <c:pt idx="7">
                  <c:v>-35.89</c:v>
                </c:pt>
                <c:pt idx="8">
                  <c:v>-61.82</c:v>
                </c:pt>
                <c:pt idx="9">
                  <c:v>-72.87</c:v>
                </c:pt>
                <c:pt idx="10">
                  <c:v>-80.78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51-43AC-8C5B-9E32C37AE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83344</xdr:colOff>
      <xdr:row>15</xdr:row>
      <xdr:rowOff>95250</xdr:rowOff>
    </xdr:from>
    <xdr:to>
      <xdr:col>8</xdr:col>
      <xdr:colOff>560784</xdr:colOff>
      <xdr:row>35</xdr:row>
      <xdr:rowOff>69057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8C293-6F6E-2184-C495-C6849CADF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233869</xdr:colOff>
      <xdr:row>15</xdr:row>
      <xdr:rowOff>104775</xdr:rowOff>
    </xdr:from>
    <xdr:to>
      <xdr:col>16</xdr:col>
      <xdr:colOff>520809</xdr:colOff>
      <xdr:row>35</xdr:row>
      <xdr:rowOff>78582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4F34C-A305-4E66-96D1-C7D0CF239A03}"/>
            </a:ext>
            <a:ext uri="{147F2762-F138-4A5C-976F-8EAC2B608ADB}">
              <a16:predDERef xmlns:a16="http://schemas.microsoft.com/office/drawing/2014/main" pred="{9918C293-6F6E-2184-C495-C6849CAD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83344</xdr:colOff>
      <xdr:row>38</xdr:row>
      <xdr:rowOff>95250</xdr:rowOff>
    </xdr:from>
    <xdr:to>
      <xdr:col>8</xdr:col>
      <xdr:colOff>560784</xdr:colOff>
      <xdr:row>58</xdr:row>
      <xdr:rowOff>69057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465855-879C-459E-B839-4844FB20D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233869</xdr:colOff>
      <xdr:row>38</xdr:row>
      <xdr:rowOff>104775</xdr:rowOff>
    </xdr:from>
    <xdr:to>
      <xdr:col>16</xdr:col>
      <xdr:colOff>520809</xdr:colOff>
      <xdr:row>58</xdr:row>
      <xdr:rowOff>78582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B03672-D77C-4BC9-9E12-49C7F9551DC0}"/>
            </a:ext>
            <a:ext uri="{147F2762-F138-4A5C-976F-8EAC2B608ADB}">
              <a16:predDERef xmlns:a16="http://schemas.microsoft.com/office/drawing/2014/main" pred="{9918C293-6F6E-2184-C495-C6849CAD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zoomScale="55" zoomScaleNormal="80" workbookViewId="0">
      <selection activeCell="O8" sqref="O8"/>
    </sheetView>
  </sheetViews>
  <sheetFormatPr defaultRowHeight="14.25" x14ac:dyDescent="0.45"/>
  <cols>
    <col min="1" max="1" width="11.59765625" customWidth="1"/>
    <col min="2" max="2" width="13.3984375" customWidth="1"/>
    <col min="3" max="3" width="10.1328125" customWidth="1"/>
    <col min="13" max="13" width="12.86328125" customWidth="1"/>
    <col min="14" max="15" width="17.1328125" customWidth="1"/>
  </cols>
  <sheetData>
    <row r="1" spans="1:17" ht="20.25" customHeight="1" x14ac:dyDescent="0.45">
      <c r="A1" s="10" t="s">
        <v>0</v>
      </c>
      <c r="B1" s="1">
        <v>120</v>
      </c>
      <c r="C1" s="2"/>
      <c r="D1" s="2"/>
      <c r="E1" s="2"/>
      <c r="F1" s="2"/>
      <c r="G1" s="2"/>
      <c r="H1" s="2"/>
      <c r="I1" s="2"/>
      <c r="J1" s="2"/>
      <c r="K1" s="3"/>
      <c r="L1" s="3"/>
      <c r="M1" s="10" t="s">
        <v>1</v>
      </c>
      <c r="N1" s="10" t="s">
        <v>2</v>
      </c>
      <c r="O1" s="4" t="s">
        <v>3</v>
      </c>
    </row>
    <row r="2" spans="1:17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9">
        <v>720</v>
      </c>
      <c r="N2" s="8">
        <f>ROUND(B1/AVERAGE(C12:K12), 2)</f>
        <v>21.34</v>
      </c>
      <c r="O2" s="8">
        <f>ROUND(B1/AVERAGE(C13:K13), 2)</f>
        <v>21.79</v>
      </c>
    </row>
    <row r="3" spans="1:17" x14ac:dyDescent="0.45">
      <c r="A3" s="10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9">
        <v>1023</v>
      </c>
      <c r="N3" s="8">
        <f>ROUND(B1/AVERAGE(C10:K10), 2)</f>
        <v>26.64</v>
      </c>
      <c r="O3" s="8">
        <f>ROUND(B1/AVERAGE(C11:K11), 2)</f>
        <v>35.89</v>
      </c>
    </row>
    <row r="4" spans="1:17" ht="16.5" customHeight="1" x14ac:dyDescent="0.45">
      <c r="A4" s="25">
        <v>4095</v>
      </c>
      <c r="B4" s="5" t="s">
        <v>4</v>
      </c>
      <c r="C4" s="6">
        <v>1.8660000000000001</v>
      </c>
      <c r="D4" s="7">
        <v>1.7</v>
      </c>
      <c r="E4" s="7">
        <v>1.8660000000000001</v>
      </c>
      <c r="F4" s="7">
        <v>2.0329999999999999</v>
      </c>
      <c r="G4" s="7">
        <v>1.7</v>
      </c>
      <c r="H4" s="7">
        <v>1.8660000000000001</v>
      </c>
      <c r="I4" s="7">
        <v>1.766</v>
      </c>
      <c r="J4" s="7">
        <v>1.8</v>
      </c>
      <c r="K4" s="7">
        <v>1.7330000000000001</v>
      </c>
      <c r="L4" s="3"/>
      <c r="M4" s="9">
        <v>2047</v>
      </c>
      <c r="N4" s="8">
        <f>ROUND(B1/AVERAGE(C8:K8), 2)</f>
        <v>50.26</v>
      </c>
      <c r="O4" s="8">
        <f>ROUND(B1/AVERAGE(C9:K9), 2)</f>
        <v>61.82</v>
      </c>
    </row>
    <row r="5" spans="1:17" ht="17.25" customHeight="1" x14ac:dyDescent="0.45">
      <c r="A5" s="26"/>
      <c r="B5" s="10" t="s">
        <v>5</v>
      </c>
      <c r="C5" s="8">
        <v>1.45</v>
      </c>
      <c r="D5" s="8">
        <v>1.51</v>
      </c>
      <c r="E5" s="8">
        <v>1.48</v>
      </c>
      <c r="F5" s="8">
        <v>1.59</v>
      </c>
      <c r="G5" s="8">
        <v>1.41</v>
      </c>
      <c r="H5" s="8">
        <v>1.54</v>
      </c>
      <c r="I5" s="8">
        <v>1.45</v>
      </c>
      <c r="J5" s="8">
        <v>1.45</v>
      </c>
      <c r="K5" s="8">
        <v>1.49</v>
      </c>
      <c r="L5" s="3"/>
      <c r="M5" s="9">
        <v>3071</v>
      </c>
      <c r="N5" s="8">
        <f>ROUND(B1/AVERAGE(C6:K6), 2)</f>
        <v>55.96</v>
      </c>
      <c r="O5" s="8">
        <f>ROUND(B1/AVERAGE(C7:K7), 2)</f>
        <v>72.87</v>
      </c>
    </row>
    <row r="6" spans="1:17" ht="18.75" customHeight="1" x14ac:dyDescent="0.45">
      <c r="A6" s="25">
        <v>3071</v>
      </c>
      <c r="B6" s="5" t="s">
        <v>4</v>
      </c>
      <c r="C6" s="8">
        <v>2.02</v>
      </c>
      <c r="D6" s="8">
        <v>2.4</v>
      </c>
      <c r="E6" s="8">
        <v>2.25</v>
      </c>
      <c r="F6" s="8">
        <v>2.19</v>
      </c>
      <c r="G6" s="8">
        <v>2.27</v>
      </c>
      <c r="H6" s="8">
        <v>2</v>
      </c>
      <c r="I6" s="8">
        <v>2.02</v>
      </c>
      <c r="J6" s="8">
        <v>2.0099999999999998</v>
      </c>
      <c r="K6" s="8">
        <v>2.14</v>
      </c>
      <c r="L6" s="3"/>
      <c r="M6" s="11">
        <v>4095</v>
      </c>
      <c r="N6" s="7">
        <f>ROUND(B1/AVERAGE(C4:K4), 2)</f>
        <v>66.14</v>
      </c>
      <c r="O6" s="7">
        <f>ROUND(B1/AVERAGE(C5:K5), 2)</f>
        <v>80.78</v>
      </c>
    </row>
    <row r="7" spans="1:17" ht="19.5" customHeight="1" x14ac:dyDescent="0.45">
      <c r="A7" s="25"/>
      <c r="B7" s="10" t="s">
        <v>5</v>
      </c>
      <c r="C7" s="8">
        <v>1.62</v>
      </c>
      <c r="D7" s="8">
        <v>1.7</v>
      </c>
      <c r="E7" s="8">
        <v>1.71</v>
      </c>
      <c r="F7" s="8">
        <v>1.56</v>
      </c>
      <c r="G7" s="8">
        <v>1.64</v>
      </c>
      <c r="H7" s="8">
        <v>1.66</v>
      </c>
      <c r="I7" s="8">
        <v>1.68</v>
      </c>
      <c r="J7" s="8">
        <v>1.66</v>
      </c>
      <c r="K7" s="8">
        <v>1.59</v>
      </c>
      <c r="L7" s="3"/>
      <c r="M7" s="10">
        <v>0</v>
      </c>
      <c r="N7" s="8">
        <v>0</v>
      </c>
      <c r="O7" s="8">
        <v>0</v>
      </c>
    </row>
    <row r="8" spans="1:17" ht="18.75" customHeight="1" x14ac:dyDescent="0.45">
      <c r="A8" s="25">
        <f>M4</f>
        <v>2047</v>
      </c>
      <c r="B8" s="5" t="s">
        <v>4</v>
      </c>
      <c r="C8" s="8">
        <v>2.4</v>
      </c>
      <c r="D8" s="8">
        <v>2.2599999999999998</v>
      </c>
      <c r="E8" s="8">
        <v>2.31</v>
      </c>
      <c r="F8" s="8">
        <v>2.31</v>
      </c>
      <c r="G8" s="8">
        <v>2.3199999999999998</v>
      </c>
      <c r="H8" s="8">
        <v>2.35</v>
      </c>
      <c r="I8" s="8">
        <v>2.57</v>
      </c>
      <c r="J8" s="8">
        <v>2.5</v>
      </c>
      <c r="K8" s="8">
        <v>2.4700000000000002</v>
      </c>
      <c r="M8" s="9">
        <v>-720</v>
      </c>
      <c r="N8" s="8">
        <f t="shared" ref="N8:O12" si="0">-N2</f>
        <v>-21.34</v>
      </c>
      <c r="O8" s="8">
        <f t="shared" si="0"/>
        <v>-21.79</v>
      </c>
    </row>
    <row r="9" spans="1:17" ht="18.75" customHeight="1" x14ac:dyDescent="0.45">
      <c r="A9" s="25"/>
      <c r="B9" s="10" t="s">
        <v>5</v>
      </c>
      <c r="C9" s="8">
        <v>1.98</v>
      </c>
      <c r="D9" s="8">
        <v>1.94</v>
      </c>
      <c r="E9" s="8">
        <v>1.94</v>
      </c>
      <c r="F9" s="8">
        <v>1.93</v>
      </c>
      <c r="G9" s="8">
        <v>1.95</v>
      </c>
      <c r="H9" s="8">
        <v>1.91</v>
      </c>
      <c r="I9" s="8">
        <v>1.93</v>
      </c>
      <c r="J9" s="8">
        <v>1.97</v>
      </c>
      <c r="K9" s="8">
        <v>1.92</v>
      </c>
      <c r="M9" s="9">
        <v>-1023</v>
      </c>
      <c r="N9" s="8">
        <f t="shared" si="0"/>
        <v>-26.64</v>
      </c>
      <c r="O9" s="8">
        <f t="shared" si="0"/>
        <v>-35.89</v>
      </c>
    </row>
    <row r="10" spans="1:17" ht="18.75" customHeight="1" x14ac:dyDescent="0.45">
      <c r="A10" s="25">
        <v>1023</v>
      </c>
      <c r="B10" s="5" t="s">
        <v>4</v>
      </c>
      <c r="C10" s="8">
        <v>4.29</v>
      </c>
      <c r="D10" s="8">
        <v>4.5199999999999996</v>
      </c>
      <c r="E10" s="8">
        <v>4.4400000000000004</v>
      </c>
      <c r="F10" s="8">
        <v>4.47</v>
      </c>
      <c r="G10" s="8">
        <v>4.43</v>
      </c>
      <c r="H10" s="8">
        <v>4.46</v>
      </c>
      <c r="I10" s="8">
        <v>4.7300000000000004</v>
      </c>
      <c r="J10" s="8">
        <v>4.76</v>
      </c>
      <c r="K10" s="8">
        <v>4.4400000000000004</v>
      </c>
      <c r="M10" s="9">
        <v>-2047</v>
      </c>
      <c r="N10" s="8">
        <f t="shared" si="0"/>
        <v>-50.26</v>
      </c>
      <c r="O10" s="8">
        <f t="shared" si="0"/>
        <v>-61.82</v>
      </c>
    </row>
    <row r="11" spans="1:17" ht="20.25" customHeight="1" x14ac:dyDescent="0.45">
      <c r="A11" s="25"/>
      <c r="B11" s="10" t="s">
        <v>5</v>
      </c>
      <c r="C11" s="8">
        <v>3.32</v>
      </c>
      <c r="D11" s="8">
        <v>3.38</v>
      </c>
      <c r="E11" s="8">
        <v>3.32</v>
      </c>
      <c r="F11" s="8">
        <v>3.31</v>
      </c>
      <c r="G11" s="8">
        <v>3.34</v>
      </c>
      <c r="H11" s="8">
        <v>3.42</v>
      </c>
      <c r="I11" s="8">
        <v>3.3</v>
      </c>
      <c r="J11" s="8">
        <v>3.3</v>
      </c>
      <c r="K11" s="8">
        <v>3.4</v>
      </c>
      <c r="M11" s="9">
        <v>-3071</v>
      </c>
      <c r="N11" s="8">
        <f t="shared" si="0"/>
        <v>-55.96</v>
      </c>
      <c r="O11" s="8">
        <f t="shared" si="0"/>
        <v>-72.87</v>
      </c>
    </row>
    <row r="12" spans="1:17" x14ac:dyDescent="0.45">
      <c r="A12" s="25">
        <v>720</v>
      </c>
      <c r="B12" s="5" t="s">
        <v>4</v>
      </c>
      <c r="C12" s="8">
        <v>5.59</v>
      </c>
      <c r="D12" s="8">
        <v>5.28</v>
      </c>
      <c r="E12" s="8">
        <v>5.48</v>
      </c>
      <c r="F12" s="8">
        <v>5.55</v>
      </c>
      <c r="G12" s="8">
        <v>5.55</v>
      </c>
      <c r="H12" s="8">
        <v>5.59</v>
      </c>
      <c r="I12" s="8">
        <v>5.94</v>
      </c>
      <c r="J12" s="8">
        <v>5.73</v>
      </c>
      <c r="K12" s="8">
        <v>5.9</v>
      </c>
      <c r="M12" s="12">
        <v>-4095</v>
      </c>
      <c r="N12" s="13">
        <f t="shared" si="0"/>
        <v>-66.14</v>
      </c>
      <c r="O12" s="13">
        <f t="shared" si="0"/>
        <v>-80.78</v>
      </c>
    </row>
    <row r="13" spans="1:17" ht="18.75" customHeight="1" x14ac:dyDescent="0.45">
      <c r="A13" s="25"/>
      <c r="B13" s="10" t="s">
        <v>5</v>
      </c>
      <c r="C13" s="8">
        <v>5.79</v>
      </c>
      <c r="D13" s="8">
        <v>5.55</v>
      </c>
      <c r="E13" s="8">
        <v>5.42</v>
      </c>
      <c r="F13" s="8">
        <v>5.49</v>
      </c>
      <c r="G13" s="8">
        <v>5.52</v>
      </c>
      <c r="H13" s="8">
        <v>5.43</v>
      </c>
      <c r="I13" s="8">
        <v>5.46</v>
      </c>
      <c r="J13" s="8">
        <v>5.5</v>
      </c>
      <c r="K13" s="8">
        <v>5.41</v>
      </c>
    </row>
    <row r="14" spans="1:17" ht="19.5" customHeight="1" thickBot="1" x14ac:dyDescent="0.5"/>
    <row r="15" spans="1:17" ht="14.65" thickBot="1" x14ac:dyDescent="0.5">
      <c r="A15" s="22" t="s">
        <v>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 x14ac:dyDescent="0.4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</row>
    <row r="17" spans="1:17" x14ac:dyDescent="0.45">
      <c r="A17" s="17"/>
      <c r="Q17" s="18"/>
    </row>
    <row r="18" spans="1:17" x14ac:dyDescent="0.45">
      <c r="A18" s="17"/>
      <c r="Q18" s="18"/>
    </row>
    <row r="19" spans="1:17" x14ac:dyDescent="0.45">
      <c r="A19" s="17"/>
      <c r="Q19" s="18"/>
    </row>
    <row r="20" spans="1:17" x14ac:dyDescent="0.45">
      <c r="A20" s="17"/>
      <c r="Q20" s="18"/>
    </row>
    <row r="21" spans="1:17" x14ac:dyDescent="0.45">
      <c r="A21" s="17"/>
      <c r="Q21" s="18"/>
    </row>
    <row r="22" spans="1:17" x14ac:dyDescent="0.45">
      <c r="A22" s="17"/>
      <c r="Q22" s="18"/>
    </row>
    <row r="23" spans="1:17" x14ac:dyDescent="0.45">
      <c r="A23" s="17"/>
      <c r="Q23" s="18"/>
    </row>
    <row r="24" spans="1:17" x14ac:dyDescent="0.45">
      <c r="A24" s="17"/>
      <c r="Q24" s="18"/>
    </row>
    <row r="25" spans="1:17" x14ac:dyDescent="0.45">
      <c r="A25" s="17"/>
      <c r="Q25" s="18"/>
    </row>
    <row r="26" spans="1:17" x14ac:dyDescent="0.45">
      <c r="A26" s="17"/>
      <c r="Q26" s="18"/>
    </row>
    <row r="27" spans="1:17" x14ac:dyDescent="0.45">
      <c r="A27" s="17"/>
      <c r="Q27" s="18"/>
    </row>
    <row r="28" spans="1:17" x14ac:dyDescent="0.45">
      <c r="A28" s="17"/>
      <c r="Q28" s="18"/>
    </row>
    <row r="29" spans="1:17" x14ac:dyDescent="0.45">
      <c r="A29" s="17"/>
      <c r="Q29" s="18"/>
    </row>
    <row r="30" spans="1:17" x14ac:dyDescent="0.45">
      <c r="A30" s="17"/>
      <c r="Q30" s="18"/>
    </row>
    <row r="31" spans="1:17" x14ac:dyDescent="0.45">
      <c r="A31" s="17"/>
      <c r="Q31" s="18"/>
    </row>
    <row r="32" spans="1:17" x14ac:dyDescent="0.45">
      <c r="A32" s="17"/>
      <c r="Q32" s="18"/>
    </row>
    <row r="33" spans="1:17" x14ac:dyDescent="0.45">
      <c r="A33" s="17"/>
      <c r="Q33" s="18"/>
    </row>
    <row r="34" spans="1:17" x14ac:dyDescent="0.45">
      <c r="A34" s="17"/>
      <c r="Q34" s="18"/>
    </row>
    <row r="35" spans="1:17" x14ac:dyDescent="0.45">
      <c r="A35" s="17"/>
      <c r="Q35" s="18"/>
    </row>
    <row r="36" spans="1:17" ht="14.65" thickBot="1" x14ac:dyDescent="0.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1"/>
    </row>
    <row r="37" spans="1:17" ht="14.65" thickBot="1" x14ac:dyDescent="0.5"/>
    <row r="38" spans="1:17" ht="14.65" thickBot="1" x14ac:dyDescent="0.5">
      <c r="A38" s="22" t="s">
        <v>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</row>
    <row r="39" spans="1:17" x14ac:dyDescent="0.45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</row>
    <row r="40" spans="1:17" x14ac:dyDescent="0.45">
      <c r="A40" s="17"/>
      <c r="Q40" s="18"/>
    </row>
    <row r="41" spans="1:17" x14ac:dyDescent="0.45">
      <c r="A41" s="17"/>
      <c r="Q41" s="18"/>
    </row>
    <row r="42" spans="1:17" x14ac:dyDescent="0.45">
      <c r="A42" s="17"/>
      <c r="Q42" s="18"/>
    </row>
    <row r="43" spans="1:17" x14ac:dyDescent="0.45">
      <c r="A43" s="17"/>
      <c r="Q43" s="18"/>
    </row>
    <row r="44" spans="1:17" x14ac:dyDescent="0.45">
      <c r="A44" s="17"/>
      <c r="Q44" s="18"/>
    </row>
    <row r="45" spans="1:17" x14ac:dyDescent="0.45">
      <c r="A45" s="17"/>
      <c r="Q45" s="18"/>
    </row>
    <row r="46" spans="1:17" x14ac:dyDescent="0.45">
      <c r="A46" s="17"/>
      <c r="Q46" s="18"/>
    </row>
    <row r="47" spans="1:17" x14ac:dyDescent="0.45">
      <c r="A47" s="17"/>
      <c r="Q47" s="18"/>
    </row>
    <row r="48" spans="1:17" x14ac:dyDescent="0.45">
      <c r="A48" s="17"/>
      <c r="Q48" s="18"/>
    </row>
    <row r="49" spans="1:17" x14ac:dyDescent="0.45">
      <c r="A49" s="17"/>
      <c r="Q49" s="18"/>
    </row>
    <row r="50" spans="1:17" x14ac:dyDescent="0.45">
      <c r="A50" s="17"/>
      <c r="Q50" s="18"/>
    </row>
    <row r="51" spans="1:17" x14ac:dyDescent="0.45">
      <c r="A51" s="17"/>
      <c r="Q51" s="18"/>
    </row>
    <row r="52" spans="1:17" x14ac:dyDescent="0.45">
      <c r="A52" s="17"/>
      <c r="Q52" s="18"/>
    </row>
    <row r="53" spans="1:17" x14ac:dyDescent="0.45">
      <c r="A53" s="17"/>
      <c r="Q53" s="18"/>
    </row>
    <row r="54" spans="1:17" x14ac:dyDescent="0.45">
      <c r="A54" s="17"/>
      <c r="Q54" s="18"/>
    </row>
    <row r="55" spans="1:17" x14ac:dyDescent="0.45">
      <c r="A55" s="17"/>
      <c r="Q55" s="18"/>
    </row>
    <row r="56" spans="1:17" x14ac:dyDescent="0.45">
      <c r="A56" s="17"/>
      <c r="Q56" s="18"/>
    </row>
    <row r="57" spans="1:17" x14ac:dyDescent="0.45">
      <c r="A57" s="17"/>
      <c r="Q57" s="18"/>
    </row>
    <row r="58" spans="1:17" x14ac:dyDescent="0.45">
      <c r="A58" s="17"/>
      <c r="Q58" s="18"/>
    </row>
    <row r="59" spans="1:17" ht="14.65" thickBot="1" x14ac:dyDescent="0.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</row>
  </sheetData>
  <mergeCells count="7">
    <mergeCell ref="A15:Q15"/>
    <mergeCell ref="A38:Q38"/>
    <mergeCell ref="A4:A5"/>
    <mergeCell ref="A6:A7"/>
    <mergeCell ref="A8:A9"/>
    <mergeCell ref="A10:A11"/>
    <mergeCell ref="A12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Romairone</dc:creator>
  <cp:keywords/>
  <dc:description/>
  <cp:lastModifiedBy>Federico Romairone</cp:lastModifiedBy>
  <cp:revision/>
  <dcterms:created xsi:type="dcterms:W3CDTF">2025-12-10T17:25:30Z</dcterms:created>
  <dcterms:modified xsi:type="dcterms:W3CDTF">2026-05-07T15:42:10Z</dcterms:modified>
  <cp:category/>
  <cp:contentStatus/>
</cp:coreProperties>
</file>